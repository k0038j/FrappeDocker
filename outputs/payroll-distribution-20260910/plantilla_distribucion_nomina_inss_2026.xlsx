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f79cfbe28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bución" sheetId="1" r:id="Rf9e229420217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"/>
    <x:numFmt numFmtId="202" formatCode="#,##0.00"/>
  </x:numFmts>
  <x:fonts count="9">
    <x:font>
      <x:sz val="11"/>
      <x:name val="Carlito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i/>
      <x:sz val="9"/>
      <x:color rgb="FF7F7F7F"/>
      <x:name val="Arial"/>
    </x:font>
    <x:font>
      <x:b/>
      <x:sz val="10"/>
      <x:color rgb="FF1F1F1F"/>
      <x:name val="Arial"/>
    </x:font>
    <x:font>
      <x:b/>
      <x:sz val="11"/>
      <x:color rgb="FF1F4E78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8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200" fontId="5" fillId="3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4" xfId="0" applyNumberFormat="1" applyFont="1" applyFill="1" applyBorder="1" applyAlignment="1">
      <x:alignment horizont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horizontal="right" vertical="center"/>
    </x:xf>
    <x:xf numFmtId="0" fontId="8" fillId="5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horizontal="right" vertical="center"/>
    </x:xf>
    <x:xf numFmtId="201" fontId="8" fillId="5" borderId="0" xfId="0" applyNumberFormat="1" applyFont="1" applyFill="1" applyBorder="1" applyAlignment="1">
      <x:alignment horizontal="center" vertical="center"/>
    </x:xf>
    <x:xf numFmtId="202" fontId="8" fillId="6" borderId="0" xfId="0" applyNumberFormat="1" applyFont="1" applyFill="1" applyBorder="1" applyAlignment="1">
      <x:alignment horizontal="right" vertical="center"/>
    </x:xf>
    <x:xf numFmtId="0" fontId="8" fillId="7" borderId="0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vertical="center"/>
    </x:xf>
    <x:xf numFmtId="202" fontId="8" fillId="5" borderId="5" xfId="0" applyNumberFormat="1" applyFont="1" applyFill="1" applyBorder="1" applyAlignment="1">
      <x:alignment horizontal="right" vertical="center"/>
    </x:xf>
    <x:xf numFmtId="202" fontId="8" fillId="6" borderId="5" xfId="0" applyNumberFormat="1" applyFont="1" applyFill="1" applyBorder="1" applyAlignment="1">
      <x:alignment horizontal="right" vertical="center"/>
    </x:xf>
    <x:xf numFmtId="201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vertical="center"/>
    </x:xf>
    <x:xf numFmtId="202" fontId="8" fillId="5" borderId="6" xfId="0" applyNumberFormat="1" applyFont="1" applyFill="1" applyBorder="1" applyAlignment="1">
      <x:alignment horizontal="right" vertical="center"/>
    </x:xf>
    <x:xf numFmtId="202" fontId="8" fillId="6" borderId="6" xfId="0" applyNumberFormat="1" applyFont="1" applyFill="1" applyBorder="1" applyAlignment="1">
      <x:alignment horizontal="right" vertical="center"/>
    </x:xf>
    <x:xf numFmtId="201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vertical="center"/>
    </x:xf>
    <x:xf numFmtId="202" fontId="8" fillId="5" borderId="7" xfId="0" applyNumberFormat="1" applyFont="1" applyFill="1" applyBorder="1" applyAlignment="1">
      <x:alignment horizontal="right" vertical="center"/>
    </x:xf>
    <x:xf numFmtId="202" fontId="8" fillId="6" borderId="7" xfId="0" applyNumberFormat="1" applyFont="1" applyFill="1" applyBorder="1" applyAlignment="1">
      <x:alignment horizontal="right" vertical="center"/>
    </x:xf>
    <x:xf numFmtId="201" fontId="8" fillId="5" borderId="7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 wrapText="0"/>
    </x:xf>
    <x:xf numFmtId="0" fontId="8" fillId="5" borderId="5" xfId="0" applyNumberFormat="1" applyFont="1" applyFill="1" applyBorder="1" applyAlignment="1">
      <x:alignment vertical="center" wrapText="0"/>
    </x:xf>
    <x:xf numFmtId="0" fontId="8" fillId="5" borderId="6" xfId="0" applyNumberFormat="1" applyFont="1" applyFill="1" applyBorder="1" applyAlignment="1">
      <x:alignment vertical="center" wrapText="0"/>
    </x:xf>
    <x:xf numFmtId="0" fontId="8" fillId="5" borderId="7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2a79ecdc14464" /><Relationship Type="http://schemas.openxmlformats.org/officeDocument/2006/relationships/theme" Target="/xl/theme/theme1.xml" Id="R87eea20f4a5648e7" /><Relationship Type="http://schemas.openxmlformats.org/officeDocument/2006/relationships/sharedStrings" Target="/xl/sharedStrings.xml" Id="Rcc685e3ae0ed4c9f" /><Relationship Type="http://schemas.openxmlformats.org/officeDocument/2006/relationships/worksheet" Target="/xl/worksheets/sheet1.xml" Id="Rf9e2294202174006" /></Relationships>
</file>

<file path=xl/tables/table1.xml><?xml version="1.0" encoding="utf-8"?>
<x:table xmlns:x="http://schemas.openxmlformats.org/spreadsheetml/2006/main" id="1" name="DistribucionNominaTable" displayName="DistribucionNominaTable" ref="A8:O47" headerRowCount="1" totalsRowCount="0" totalsRowShown="0">
  <x:autoFilter ref="A8:O47"/>
  <x:tableColumns count="15">
    <x:tableColumn id="1" name="Código empleado"/>
    <x:tableColumn id="2" name="Nombre del empleado"/>
    <x:tableColumn id="3" name="Departamento"/>
    <x:tableColumn id="4" name="Cargo"/>
    <x:tableColumn id="5" name="Tipo de empleo actual"/>
    <x:tableColumn id="6" name="Fecha de ingreso"/>
    <x:tableColumn id="7" name="Sucursal"/>
    <x:tableColumn id="8" name="Grupo de nómina"/>
    <x:tableColumn id="9" name="Salario base mensual (NIO)"/>
    <x:tableColumn id="10" name="Base ERPNext por ciclo (NIO)"/>
    <x:tableColumn id="11" name="Fecha de vigencia"/>
    <x:tableColumn id="12" name="Renta gravable acumulada 2026 (NIO)"/>
    <x:tableColumn id="13" name="IR retenido acumulado 2026 (NIO)"/>
    <x:tableColumn id="14" name="Observaciones"/>
    <x:tableColumn id="15" name="Estado de fi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27ee14fe4b425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42" hidden="0" customWidth="1"/>
    <x:col min="4" max="4" width="27" hidden="0" customWidth="1"/>
    <x:col min="5" max="5" width="20" hidden="0" customWidth="1"/>
    <x:col min="6" max="6" width="14" hidden="0" customWidth="1"/>
    <x:col min="7" max="7" width="16" hidden="0" customWidth="1"/>
    <x:col min="8" max="8" width="24" hidden="0" customWidth="1"/>
    <x:col min="9" max="9" width="21" hidden="0" customWidth="1"/>
    <x:col min="10" max="10" width="22" hidden="0" customWidth="1"/>
    <x:col min="11" max="11" width="16" hidden="0" customWidth="1"/>
    <x:col min="12" max="12" width="26" hidden="0" customWidth="1"/>
    <x:col min="13" max="13" width="25" hidden="0" customWidth="1"/>
    <x:col min="14" max="14" width="28" hidden="0" customWidth="1"/>
    <x:col min="15" max="15" width="24" hidden="0" customWidth="1"/>
  </x:cols>
  <x:sheetData>
    <x:row r="2">
      <x:c r="A2" s="1" t="str">
        <x:v>Distribución de empleados en nóminas INSS</x:v>
      </x:c>
    </x:row>
    <x:row r="3">
      <x:c r="A3" s="2" t="str">
        <x:v>Complete sólo las celdas amarillas. Use 0 cuando un acumulado fiscal no exista.</x:v>
      </x:c>
    </x:row>
    <x:row r="4">
      <x:c r="A4" s="3" t="str">
        <x:v>Fuente: ERPNext, sitio frontend. Empleados activos consultados el 10/09/2026.</x:v>
      </x:c>
    </x:row>
    <x:row r="5">
      <x:c r="A5" s="6" t="str">
        <x:v>Empleados activos</x:v>
      </x:c>
      <x:c r="B5" s="11" t="n">
        <x:v>39</x:v>
      </x:c>
      <x:c r="C5"/>
      <x:c r="D5" s="6" t="str">
        <x:v>Filas completas</x:v>
      </x:c>
      <x:c r="E5" s="11" t="n">
        <x:f>COUNTIFS($O$9:$O$47,"Completo")</x:f>
        <x:v>0</x:v>
      </x:c>
      <x:c r="F5"/>
      <x:c r="G5" s="6" t="str">
        <x:v>Pendientes</x:v>
      </x:c>
      <x:c r="H5" s="11" t="n">
        <x:f>B5-E5</x:f>
        <x:v>39</x:v>
      </x:c>
      <x:c r="I5"/>
      <x:c r="J5" s="6" t="str">
        <x:v>Mensual INSS</x:v>
      </x:c>
      <x:c r="K5" s="11" t="n">
        <x:f>COUNTIFS($H$9:$H$47,"Nomina Mensual INSS")</x:f>
        <x:v>0</x:v>
      </x:c>
      <x:c r="L5"/>
      <x:c r="M5" s="6" t="str">
        <x:v>Quincenal INSS</x:v>
      </x:c>
      <x:c r="N5" s="11" t="n">
        <x:f>COUNTIFS($H$9:$H$47,"Nomina Quincenal INSS")</x:f>
        <x:v>0</x:v>
      </x:c>
    </x:row>
    <x:row r="6">
      <x:c r="A6" s="12" t="str">
        <x:v>Amarillo: completar. Azul: cálculo automático. Blanco: dato de ERPNext para referencia.</x:v>
      </x:c>
    </x:row>
    <x:row r="8" ht="34" customHeight="1">
      <x:c r="A8" s="24" t="str">
        <x:v>Código empleado</x:v>
      </x:c>
      <x:c r="B8" s="25" t="str">
        <x:v>Nombre del empleado</x:v>
      </x:c>
      <x:c r="C8" s="25" t="str">
        <x:v>Departamento</x:v>
      </x:c>
      <x:c r="D8" s="25" t="str">
        <x:v>Cargo</x:v>
      </x:c>
      <x:c r="E8" s="25" t="str">
        <x:v>Tipo de empleo actual</x:v>
      </x:c>
      <x:c r="F8" s="25" t="str">
        <x:v>Fecha de ingreso</x:v>
      </x:c>
      <x:c r="G8" s="25" t="str">
        <x:v>Sucursal</x:v>
      </x:c>
      <x:c r="H8" s="25" t="str">
        <x:v>Grupo de nómina</x:v>
      </x:c>
      <x:c r="I8" s="25" t="str">
        <x:v>Salario base mensual (NIO)</x:v>
      </x:c>
      <x:c r="J8" s="25" t="str">
        <x:v>Base ERPNext por ciclo (NIO)</x:v>
      </x:c>
      <x:c r="K8" s="25" t="str">
        <x:v>Fecha de vigencia</x:v>
      </x:c>
      <x:c r="L8" s="25" t="str">
        <x:v>Renta gravable acumulada 2026 (NIO)</x:v>
      </x:c>
      <x:c r="M8" s="25" t="str">
        <x:v>IR retenido acumulado 2026 (NIO)</x:v>
      </x:c>
      <x:c r="N8" s="25" t="str">
        <x:v>Observaciones</x:v>
      </x:c>
      <x:c r="O8" s="26" t="str">
        <x:v>Estado de fila</x:v>
      </x:c>
    </x:row>
    <x:row r="9" ht="20" customHeight="1">
      <x:c r="A9" s="28" t="str">
        <x:v>HR-EMP-00001</x:v>
      </x:c>
      <x:c r="B9" s="50" t="str">
        <x:v>María Nelly Andrade</x:v>
      </x:c>
      <x:c r="C9" s="50" t="str">
        <x:v>Gerencia Comercial - CYCE</x:v>
      </x:c>
      <x:c r="D9" s="50" t="str">
        <x:v>Gerente Comercial</x:v>
      </x:c>
      <x:c r="E9" s="50" t="str">
        <x:v>Contract</x:v>
      </x:c>
      <x:c r="F9" s="30" t="n">
        <x:v>44197</x:v>
      </x:c>
      <x:c r="G9" s="28" t="str">
        <x:v>Managua</x:v>
      </x:c>
      <x:c r="H9" s="38"/>
      <x:c r="I9" s="39"/>
      <x:c r="J9" s="40" t="str">
        <x:f>IF(H9="","",IF(H9="Nomina Quincenal INSS",I9/2,I9))</x:f>
      </x:c>
      <x:c r="K9" s="41"/>
      <x:c r="L9" s="39"/>
      <x:c r="M9" s="39"/>
      <x:c r="N9" s="51"/>
      <x:c r="O9" s="37" t="str">
        <x:f>IF(H9="","Falta grupo",IF(I9="","Falta salario",IF(K9="","Falta fecha",IF(K9&lt;F9,"Fecha anterior al ingreso",IF(K9&gt;DATE(2026,12,31),"Fecha fuera de 2026",IF(AND(K9&gt;DATE(2026,1,1),COUNTBLANK(L9:M9)&gt;0),"Faltan acumulados","Completo"))))))</x:f>
        <x:v>Falta grupo</x:v>
      </x:c>
    </x:row>
    <x:row r="10" ht="20" customHeight="1">
      <x:c r="A10" s="28" t="str">
        <x:v>HR-EMP-00002</x:v>
      </x:c>
      <x:c r="B10" s="50" t="str">
        <x:v>Augusto García</x:v>
      </x:c>
      <x:c r="C10" s="50" t="str">
        <x:v>Gerencia General - CYCE</x:v>
      </x:c>
      <x:c r="D10" s="50" t="str">
        <x:v>Gerente General</x:v>
      </x:c>
      <x:c r="E10" s="50" t="str"/>
      <x:c r="F10" s="30" t="n">
        <x:v>46023</x:v>
      </x:c>
      <x:c r="G10" s="28" t="str"/>
      <x:c r="H10" s="42"/>
      <x:c r="I10" s="43"/>
      <x:c r="J10" s="44" t="str">
        <x:f>IF(H10="","",IF(H10="Nomina Quincenal INSS",I10/2,I10))</x:f>
      </x:c>
      <x:c r="K10" s="45"/>
      <x:c r="L10" s="43"/>
      <x:c r="M10" s="43"/>
      <x:c r="N10" s="52"/>
      <x:c r="O10" s="37" t="str">
        <x:f>IF(H10="","Falta grupo",IF(I10="","Falta salario",IF(K10="","Falta fecha",IF(K10&lt;F10,"Fecha anterior al ingreso",IF(K10&gt;DATE(2026,12,31),"Fecha fuera de 2026",IF(AND(K10&gt;DATE(2026,1,1),COUNTBLANK(L10:M10)&gt;0),"Faltan acumulados","Completo"))))))</x:f>
        <x:v>Falta grupo</x:v>
      </x:c>
    </x:row>
    <x:row r="11" ht="20" customHeight="1">
      <x:c r="A11" s="28" t="str">
        <x:v>HR-EMP-00003</x:v>
      </x:c>
      <x:c r="B11" s="50" t="str">
        <x:v>Marbel Canales</x:v>
      </x:c>
      <x:c r="C11" s="50" t="str">
        <x:v>Gestión de Calidad - CYCE</x:v>
      </x:c>
      <x:c r="D11" s="50" t="str">
        <x:v>Gestor de Calidad</x:v>
      </x:c>
      <x:c r="E11" s="50" t="str"/>
      <x:c r="F11" s="30" t="n">
        <x:v>46023</x:v>
      </x:c>
      <x:c r="G11" s="28" t="str"/>
      <x:c r="H11" s="42"/>
      <x:c r="I11" s="43"/>
      <x:c r="J11" s="44" t="str">
        <x:f>IF(H11="","",IF(H11="Nomina Quincenal INSS",I11/2,I11))</x:f>
      </x:c>
      <x:c r="K11" s="45"/>
      <x:c r="L11" s="43"/>
      <x:c r="M11" s="43"/>
      <x:c r="N11" s="52"/>
      <x:c r="O11" s="37" t="str">
        <x:f>IF(H11="","Falta grupo",IF(I11="","Falta salario",IF(K11="","Falta fecha",IF(K11&lt;F11,"Fecha anterior al ingreso",IF(K11&gt;DATE(2026,12,31),"Fecha fuera de 2026",IF(AND(K11&gt;DATE(2026,1,1),COUNTBLANK(L11:M11)&gt;0),"Faltan acumulados","Completo"))))))</x:f>
        <x:v>Falta grupo</x:v>
      </x:c>
    </x:row>
    <x:row r="12" ht="20" customHeight="1">
      <x:c r="A12" s="28" t="str">
        <x:v>HR-EMP-00004</x:v>
      </x:c>
      <x:c r="B12" s="50" t="str">
        <x:v>María Centeno</x:v>
      </x:c>
      <x:c r="C12" s="50" t="str">
        <x:v>Administración - CYCE</x:v>
      </x:c>
      <x:c r="D12" s="50" t="str">
        <x:v>Asistente Administrativo</x:v>
      </x:c>
      <x:c r="E12" s="50" t="str"/>
      <x:c r="F12" s="30" t="n">
        <x:v>46023</x:v>
      </x:c>
      <x:c r="G12" s="28" t="str"/>
      <x:c r="H12" s="42"/>
      <x:c r="I12" s="43"/>
      <x:c r="J12" s="44" t="str">
        <x:f>IF(H12="","",IF(H12="Nomina Quincenal INSS",I12/2,I12))</x:f>
      </x:c>
      <x:c r="K12" s="45"/>
      <x:c r="L12" s="43"/>
      <x:c r="M12" s="43"/>
      <x:c r="N12" s="52"/>
      <x:c r="O12" s="37" t="str">
        <x:f>IF(H12="","Falta grupo",IF(I12="","Falta salario",IF(K12="","Falta fecha",IF(K12&lt;F12,"Fecha anterior al ingreso",IF(K12&gt;DATE(2026,12,31),"Fecha fuera de 2026",IF(AND(K12&gt;DATE(2026,1,1),COUNTBLANK(L12:M12)&gt;0),"Faltan acumulados","Completo"))))))</x:f>
        <x:v>Falta grupo</x:v>
      </x:c>
    </x:row>
    <x:row r="13" ht="20" customHeight="1">
      <x:c r="A13" s="28" t="str">
        <x:v>HR-EMP-00005</x:v>
      </x:c>
      <x:c r="B13" s="50" t="str">
        <x:v>Anshley Palacios</x:v>
      </x:c>
      <x:c r="C13" s="50" t="str">
        <x:v>Contabilidad - CYCE</x:v>
      </x:c>
      <x:c r="D13" s="50" t="str">
        <x:v>Asistente Contable</x:v>
      </x:c>
      <x:c r="E13" s="50" t="str"/>
      <x:c r="F13" s="30" t="n">
        <x:v>46023</x:v>
      </x:c>
      <x:c r="G13" s="28" t="str"/>
      <x:c r="H13" s="42"/>
      <x:c r="I13" s="43"/>
      <x:c r="J13" s="44" t="str">
        <x:f>IF(H13="","",IF(H13="Nomina Quincenal INSS",I13/2,I13))</x:f>
      </x:c>
      <x:c r="K13" s="45"/>
      <x:c r="L13" s="43"/>
      <x:c r="M13" s="43"/>
      <x:c r="N13" s="52"/>
      <x:c r="O13" s="37" t="str">
        <x:f>IF(H13="","Falta grupo",IF(I13="","Falta salario",IF(K13="","Falta fecha",IF(K13&lt;F13,"Fecha anterior al ingreso",IF(K13&gt;DATE(2026,12,31),"Fecha fuera de 2026",IF(AND(K13&gt;DATE(2026,1,1),COUNTBLANK(L13:M13)&gt;0),"Faltan acumulados","Completo"))))))</x:f>
        <x:v>Falta grupo</x:v>
      </x:c>
    </x:row>
    <x:row r="14" ht="20" customHeight="1">
      <x:c r="A14" s="28" t="str">
        <x:v>HR-EMP-00006</x:v>
      </x:c>
      <x:c r="B14" s="50" t="str">
        <x:v>Julio Benavides</x:v>
      </x:c>
      <x:c r="C14" s="50" t="str">
        <x:v>Gestión de Proyectos de Construcción - CYCE</x:v>
      </x:c>
      <x:c r="D14" s="50" t="str">
        <x:v>Gerente de Proyecto</x:v>
      </x:c>
      <x:c r="E14" s="50" t="str"/>
      <x:c r="F14" s="30" t="n">
        <x:v>46023</x:v>
      </x:c>
      <x:c r="G14" s="28" t="str"/>
      <x:c r="H14" s="42"/>
      <x:c r="I14" s="43"/>
      <x:c r="J14" s="44" t="str">
        <x:f>IF(H14="","",IF(H14="Nomina Quincenal INSS",I14/2,I14))</x:f>
      </x:c>
      <x:c r="K14" s="45"/>
      <x:c r="L14" s="43"/>
      <x:c r="M14" s="43"/>
      <x:c r="N14" s="52"/>
      <x:c r="O14" s="37" t="str">
        <x:f>IF(H14="","Falta grupo",IF(I14="","Falta salario",IF(K14="","Falta fecha",IF(K14&lt;F14,"Fecha anterior al ingreso",IF(K14&gt;DATE(2026,12,31),"Fecha fuera de 2026",IF(AND(K14&gt;DATE(2026,1,1),COUNTBLANK(L14:M14)&gt;0),"Faltan acumulados","Completo"))))))</x:f>
        <x:v>Falta grupo</x:v>
      </x:c>
    </x:row>
    <x:row r="15" ht="20" customHeight="1">
      <x:c r="A15" s="28" t="str">
        <x:v>HR-EMP-00007</x:v>
      </x:c>
      <x:c r="B15" s="50" t="str">
        <x:v>Javier Solórzano</x:v>
      </x:c>
      <x:c r="C15" s="50" t="str">
        <x:v>Gestión de Proyectos de Construcción - CYCE</x:v>
      </x:c>
      <x:c r="D15" s="50" t="str">
        <x:v>Residente de Proyecto</x:v>
      </x:c>
      <x:c r="E15" s="50" t="str"/>
      <x:c r="F15" s="30" t="n">
        <x:v>46023</x:v>
      </x:c>
      <x:c r="G15" s="28" t="str"/>
      <x:c r="H15" s="42"/>
      <x:c r="I15" s="43"/>
      <x:c r="J15" s="44" t="str">
        <x:f>IF(H15="","",IF(H15="Nomina Quincenal INSS",I15/2,I15))</x:f>
      </x:c>
      <x:c r="K15" s="45"/>
      <x:c r="L15" s="43"/>
      <x:c r="M15" s="43"/>
      <x:c r="N15" s="52"/>
      <x:c r="O15" s="37" t="str">
        <x:f>IF(H15="","Falta grupo",IF(I15="","Falta salario",IF(K15="","Falta fecha",IF(K15&lt;F15,"Fecha anterior al ingreso",IF(K15&gt;DATE(2026,12,31),"Fecha fuera de 2026",IF(AND(K15&gt;DATE(2026,1,1),COUNTBLANK(L15:M15)&gt;0),"Faltan acumulados","Completo"))))))</x:f>
        <x:v>Falta grupo</x:v>
      </x:c>
    </x:row>
    <x:row r="16" ht="20" customHeight="1">
      <x:c r="A16" s="28" t="str">
        <x:v>HR-EMP-00008</x:v>
      </x:c>
      <x:c r="B16" s="50" t="str">
        <x:v>Edwin Gutiérrez</x:v>
      </x:c>
      <x:c r="C16" s="50" t="str">
        <x:v>Gestión de Proyectos de Construcción - CYCE</x:v>
      </x:c>
      <x:c r="D16" s="50" t="str">
        <x:v>Residente de Proyecto</x:v>
      </x:c>
      <x:c r="E16" s="50" t="str"/>
      <x:c r="F16" s="30" t="n">
        <x:v>46023</x:v>
      </x:c>
      <x:c r="G16" s="28" t="str"/>
      <x:c r="H16" s="42"/>
      <x:c r="I16" s="43"/>
      <x:c r="J16" s="44" t="str">
        <x:f>IF(H16="","",IF(H16="Nomina Quincenal INSS",I16/2,I16))</x:f>
      </x:c>
      <x:c r="K16" s="45"/>
      <x:c r="L16" s="43"/>
      <x:c r="M16" s="43"/>
      <x:c r="N16" s="52"/>
      <x:c r="O16" s="37" t="str">
        <x:f>IF(H16="","Falta grupo",IF(I16="","Falta salario",IF(K16="","Falta fecha",IF(K16&lt;F16,"Fecha anterior al ingreso",IF(K16&gt;DATE(2026,12,31),"Fecha fuera de 2026",IF(AND(K16&gt;DATE(2026,1,1),COUNTBLANK(L16:M16)&gt;0),"Faltan acumulados","Completo"))))))</x:f>
        <x:v>Falta grupo</x:v>
      </x:c>
    </x:row>
    <x:row r="17" ht="20" customHeight="1">
      <x:c r="A17" s="28" t="str">
        <x:v>HR-EMP-00009</x:v>
      </x:c>
      <x:c r="B17" s="50" t="str">
        <x:v>Erick González</x:v>
      </x:c>
      <x:c r="C17" s="50" t="str">
        <x:v>Gestión de Proyectos de Construcción - CYCE</x:v>
      </x:c>
      <x:c r="D17" s="50" t="str">
        <x:v>Residente de Proyecto</x:v>
      </x:c>
      <x:c r="E17" s="50" t="str"/>
      <x:c r="F17" s="30" t="n">
        <x:v>46023</x:v>
      </x:c>
      <x:c r="G17" s="28" t="str"/>
      <x:c r="H17" s="42"/>
      <x:c r="I17" s="43"/>
      <x:c r="J17" s="44" t="str">
        <x:f>IF(H17="","",IF(H17="Nomina Quincenal INSS",I17/2,I17))</x:f>
      </x:c>
      <x:c r="K17" s="45"/>
      <x:c r="L17" s="43"/>
      <x:c r="M17" s="43"/>
      <x:c r="N17" s="52"/>
      <x:c r="O17" s="37" t="str">
        <x:f>IF(H17="","Falta grupo",IF(I17="","Falta salario",IF(K17="","Falta fecha",IF(K17&lt;F17,"Fecha anterior al ingreso",IF(K17&gt;DATE(2026,12,31),"Fecha fuera de 2026",IF(AND(K17&gt;DATE(2026,1,1),COUNTBLANK(L17:M17)&gt;0),"Faltan acumulados","Completo"))))))</x:f>
        <x:v>Falta grupo</x:v>
      </x:c>
    </x:row>
    <x:row r="18" ht="20" customHeight="1">
      <x:c r="A18" s="28" t="str">
        <x:v>HR-EMP-00010</x:v>
      </x:c>
      <x:c r="B18" s="50" t="str">
        <x:v>Eduardo Medina</x:v>
      </x:c>
      <x:c r="C18" s="50" t="str">
        <x:v>Gestión de Proyectos de Construcción - CYCE</x:v>
      </x:c>
      <x:c r="D18" s="50" t="str">
        <x:v>Residente de Proyecto</x:v>
      </x:c>
      <x:c r="E18" s="50" t="str"/>
      <x:c r="F18" s="30" t="n">
        <x:v>46023</x:v>
      </x:c>
      <x:c r="G18" s="28" t="str"/>
      <x:c r="H18" s="42"/>
      <x:c r="I18" s="43"/>
      <x:c r="J18" s="44" t="str">
        <x:f>IF(H18="","",IF(H18="Nomina Quincenal INSS",I18/2,I18))</x:f>
      </x:c>
      <x:c r="K18" s="45"/>
      <x:c r="L18" s="43"/>
      <x:c r="M18" s="43"/>
      <x:c r="N18" s="52"/>
      <x:c r="O18" s="37" t="str">
        <x:f>IF(H18="","Falta grupo",IF(I18="","Falta salario",IF(K18="","Falta fecha",IF(K18&lt;F18,"Fecha anterior al ingreso",IF(K18&gt;DATE(2026,12,31),"Fecha fuera de 2026",IF(AND(K18&gt;DATE(2026,1,1),COUNTBLANK(L18:M18)&gt;0),"Faltan acumulados","Completo"))))))</x:f>
        <x:v>Falta grupo</x:v>
      </x:c>
    </x:row>
    <x:row r="19" ht="20" customHeight="1">
      <x:c r="A19" s="28" t="str">
        <x:v>HR-EMP-00011</x:v>
      </x:c>
      <x:c r="B19" s="50" t="str">
        <x:v>Rudy Miranda</x:v>
      </x:c>
      <x:c r="C19" s="50" t="str">
        <x:v>Gestión de Proyectos de Construcción - CYCE</x:v>
      </x:c>
      <x:c r="D19" s="50" t="str">
        <x:v>Residente de Proyecto</x:v>
      </x:c>
      <x:c r="E19" s="50" t="str"/>
      <x:c r="F19" s="30" t="n">
        <x:v>46023</x:v>
      </x:c>
      <x:c r="G19" s="28" t="str"/>
      <x:c r="H19" s="42"/>
      <x:c r="I19" s="43"/>
      <x:c r="J19" s="44" t="str">
        <x:f>IF(H19="","",IF(H19="Nomina Quincenal INSS",I19/2,I19))</x:f>
      </x:c>
      <x:c r="K19" s="45"/>
      <x:c r="L19" s="43"/>
      <x:c r="M19" s="43"/>
      <x:c r="N19" s="52"/>
      <x:c r="O19" s="37" t="str">
        <x:f>IF(H19="","Falta grupo",IF(I19="","Falta salario",IF(K19="","Falta fecha",IF(K19&lt;F19,"Fecha anterior al ingreso",IF(K19&gt;DATE(2026,12,31),"Fecha fuera de 2026",IF(AND(K19&gt;DATE(2026,1,1),COUNTBLANK(L19:M19)&gt;0),"Faltan acumulados","Completo"))))))</x:f>
        <x:v>Falta grupo</x:v>
      </x:c>
    </x:row>
    <x:row r="20" ht="20" customHeight="1">
      <x:c r="A20" s="28" t="str">
        <x:v>HR-EMP-00012</x:v>
      </x:c>
      <x:c r="B20" s="50" t="str">
        <x:v>Junieth Luna</x:v>
      </x:c>
      <x:c r="C20" s="50" t="str">
        <x:v>Gestión de Proyectos de Construcción - CYCE</x:v>
      </x:c>
      <x:c r="D20" s="50" t="str">
        <x:v>Fiscal de Obra</x:v>
      </x:c>
      <x:c r="E20" s="50" t="str"/>
      <x:c r="F20" s="30" t="n">
        <x:v>46023</x:v>
      </x:c>
      <x:c r="G20" s="28" t="str"/>
      <x:c r="H20" s="42"/>
      <x:c r="I20" s="43"/>
      <x:c r="J20" s="44" t="str">
        <x:f>IF(H20="","",IF(H20="Nomina Quincenal INSS",I20/2,I20))</x:f>
      </x:c>
      <x:c r="K20" s="45"/>
      <x:c r="L20" s="43"/>
      <x:c r="M20" s="43"/>
      <x:c r="N20" s="52"/>
      <x:c r="O20" s="37" t="str">
        <x:f>IF(H20="","Falta grupo",IF(I20="","Falta salario",IF(K20="","Falta fecha",IF(K20&lt;F20,"Fecha anterior al ingreso",IF(K20&gt;DATE(2026,12,31),"Fecha fuera de 2026",IF(AND(K20&gt;DATE(2026,1,1),COUNTBLANK(L20:M20)&gt;0),"Faltan acumulados","Completo"))))))</x:f>
        <x:v>Falta grupo</x:v>
      </x:c>
    </x:row>
    <x:row r="21" ht="20" customHeight="1">
      <x:c r="A21" s="28" t="str">
        <x:v>HR-EMP-00013</x:v>
      </x:c>
      <x:c r="B21" s="50" t="str">
        <x:v>Ingrid Paz</x:v>
      </x:c>
      <x:c r="C21" s="50" t="str">
        <x:v>Gestión de Proyectos de Construcción - CYCE</x:v>
      </x:c>
      <x:c r="D21" s="50" t="str">
        <x:v>Calculista</x:v>
      </x:c>
      <x:c r="E21" s="50" t="str"/>
      <x:c r="F21" s="30" t="n">
        <x:v>46023</x:v>
      </x:c>
      <x:c r="G21" s="28" t="str"/>
      <x:c r="H21" s="42"/>
      <x:c r="I21" s="43"/>
      <x:c r="J21" s="44" t="str">
        <x:f>IF(H21="","",IF(H21="Nomina Quincenal INSS",I21/2,I21))</x:f>
      </x:c>
      <x:c r="K21" s="45"/>
      <x:c r="L21" s="43"/>
      <x:c r="M21" s="43"/>
      <x:c r="N21" s="52"/>
      <x:c r="O21" s="37" t="str">
        <x:f>IF(H21="","Falta grupo",IF(I21="","Falta salario",IF(K21="","Falta fecha",IF(K21&lt;F21,"Fecha anterior al ingreso",IF(K21&gt;DATE(2026,12,31),"Fecha fuera de 2026",IF(AND(K21&gt;DATE(2026,1,1),COUNTBLANK(L21:M21)&gt;0),"Faltan acumulados","Completo"))))))</x:f>
        <x:v>Falta grupo</x:v>
      </x:c>
    </x:row>
    <x:row r="22" ht="20" customHeight="1">
      <x:c r="A22" s="28" t="str">
        <x:v>HR-EMP-00014</x:v>
      </x:c>
      <x:c r="B22" s="50" t="str">
        <x:v>Fernando Castillo</x:v>
      </x:c>
      <x:c r="C22" s="50" t="str">
        <x:v>Gestión de Calidad - CYCE</x:v>
      </x:c>
      <x:c r="D22" s="50" t="str">
        <x:v>Técnico de Laboratorio</x:v>
      </x:c>
      <x:c r="E22" s="50" t="str"/>
      <x:c r="F22" s="30" t="n">
        <x:v>46023</x:v>
      </x:c>
      <x:c r="G22" s="28" t="str"/>
      <x:c r="H22" s="42"/>
      <x:c r="I22" s="43"/>
      <x:c r="J22" s="44" t="str">
        <x:f>IF(H22="","",IF(H22="Nomina Quincenal INSS",I22/2,I22))</x:f>
      </x:c>
      <x:c r="K22" s="45"/>
      <x:c r="L22" s="43"/>
      <x:c r="M22" s="43"/>
      <x:c r="N22" s="52"/>
      <x:c r="O22" s="37" t="str">
        <x:f>IF(H22="","Falta grupo",IF(I22="","Falta salario",IF(K22="","Falta fecha",IF(K22&lt;F22,"Fecha anterior al ingreso",IF(K22&gt;DATE(2026,12,31),"Fecha fuera de 2026",IF(AND(K22&gt;DATE(2026,1,1),COUNTBLANK(L22:M22)&gt;0),"Faltan acumulados","Completo"))))))</x:f>
        <x:v>Falta grupo</x:v>
      </x:c>
    </x:row>
    <x:row r="23" ht="20" customHeight="1">
      <x:c r="A23" s="28" t="str">
        <x:v>HR-EMP-00015</x:v>
      </x:c>
      <x:c r="B23" s="50" t="str">
        <x:v>Alejandro Gómez</x:v>
      </x:c>
      <x:c r="C23" s="50" t="str">
        <x:v>Operaciones de Obra - CYCE</x:v>
      </x:c>
      <x:c r="D23" s="50" t="str">
        <x:v>Topógrafo</x:v>
      </x:c>
      <x:c r="E23" s="50" t="str"/>
      <x:c r="F23" s="30" t="n">
        <x:v>46023</x:v>
      </x:c>
      <x:c r="G23" s="28" t="str"/>
      <x:c r="H23" s="42"/>
      <x:c r="I23" s="43"/>
      <x:c r="J23" s="44" t="str">
        <x:f>IF(H23="","",IF(H23="Nomina Quincenal INSS",I23/2,I23))</x:f>
      </x:c>
      <x:c r="K23" s="45"/>
      <x:c r="L23" s="43"/>
      <x:c r="M23" s="43"/>
      <x:c r="N23" s="52"/>
      <x:c r="O23" s="37" t="str">
        <x:f>IF(H23="","Falta grupo",IF(I23="","Falta salario",IF(K23="","Falta fecha",IF(K23&lt;F23,"Fecha anterior al ingreso",IF(K23&gt;DATE(2026,12,31),"Fecha fuera de 2026",IF(AND(K23&gt;DATE(2026,1,1),COUNTBLANK(L23:M23)&gt;0),"Faltan acumulados","Completo"))))))</x:f>
        <x:v>Falta grupo</x:v>
      </x:c>
    </x:row>
    <x:row r="24" ht="20" customHeight="1">
      <x:c r="A24" s="28" t="str">
        <x:v>HR-EMP-00016</x:v>
      </x:c>
      <x:c r="B24" s="50" t="str">
        <x:v>Óscar Silva</x:v>
      </x:c>
      <x:c r="C24" s="50" t="str">
        <x:v>Operaciones de Obra - CYCE</x:v>
      </x:c>
      <x:c r="D24" s="50" t="str">
        <x:v>Topógrafo</x:v>
      </x:c>
      <x:c r="E24" s="50" t="str"/>
      <x:c r="F24" s="30" t="n">
        <x:v>46023</x:v>
      </x:c>
      <x:c r="G24" s="28" t="str"/>
      <x:c r="H24" s="42"/>
      <x:c r="I24" s="43"/>
      <x:c r="J24" s="44" t="str">
        <x:f>IF(H24="","",IF(H24="Nomina Quincenal INSS",I24/2,I24))</x:f>
      </x:c>
      <x:c r="K24" s="45"/>
      <x:c r="L24" s="43"/>
      <x:c r="M24" s="43"/>
      <x:c r="N24" s="52"/>
      <x:c r="O24" s="37" t="str">
        <x:f>IF(H24="","Falta grupo",IF(I24="","Falta salario",IF(K24="","Falta fecha",IF(K24&lt;F24,"Fecha anterior al ingreso",IF(K24&gt;DATE(2026,12,31),"Fecha fuera de 2026",IF(AND(K24&gt;DATE(2026,1,1),COUNTBLANK(L24:M24)&gt;0),"Faltan acumulados","Completo"))))))</x:f>
        <x:v>Falta grupo</x:v>
      </x:c>
    </x:row>
    <x:row r="25" ht="20" customHeight="1">
      <x:c r="A25" s="28" t="str">
        <x:v>HR-EMP-00017</x:v>
      </x:c>
      <x:c r="B25" s="50" t="str">
        <x:v>Brayan López</x:v>
      </x:c>
      <x:c r="C25" s="50" t="str">
        <x:v>Operaciones de Obra - CYCE</x:v>
      </x:c>
      <x:c r="D25" s="50" t="str">
        <x:v>Cadenero</x:v>
      </x:c>
      <x:c r="E25" s="50" t="str"/>
      <x:c r="F25" s="30" t="n">
        <x:v>46023</x:v>
      </x:c>
      <x:c r="G25" s="28" t="str"/>
      <x:c r="H25" s="42"/>
      <x:c r="I25" s="43"/>
      <x:c r="J25" s="44" t="str">
        <x:f>IF(H25="","",IF(H25="Nomina Quincenal INSS",I25/2,I25))</x:f>
      </x:c>
      <x:c r="K25" s="45"/>
      <x:c r="L25" s="43"/>
      <x:c r="M25" s="43"/>
      <x:c r="N25" s="52"/>
      <x:c r="O25" s="37" t="str">
        <x:f>IF(H25="","Falta grupo",IF(I25="","Falta salario",IF(K25="","Falta fecha",IF(K25&lt;F25,"Fecha anterior al ingreso",IF(K25&gt;DATE(2026,12,31),"Fecha fuera de 2026",IF(AND(K25&gt;DATE(2026,1,1),COUNTBLANK(L25:M25)&gt;0),"Faltan acumulados","Completo"))))))</x:f>
        <x:v>Falta grupo</x:v>
      </x:c>
    </x:row>
    <x:row r="26" ht="20" customHeight="1">
      <x:c r="A26" s="28" t="str">
        <x:v>HR-EMP-00018</x:v>
      </x:c>
      <x:c r="B26" s="50" t="str">
        <x:v>David Montenegro</x:v>
      </x:c>
      <x:c r="C26" s="50" t="str">
        <x:v>Maquinaria y Equipos - CYCE</x:v>
      </x:c>
      <x:c r="D26" s="50" t="str">
        <x:v>Operador de Retroexcavadora</x:v>
      </x:c>
      <x:c r="E26" s="50" t="str"/>
      <x:c r="F26" s="30" t="n">
        <x:v>46023</x:v>
      </x:c>
      <x:c r="G26" s="28" t="str"/>
      <x:c r="H26" s="42"/>
      <x:c r="I26" s="43"/>
      <x:c r="J26" s="44" t="str">
        <x:f>IF(H26="","",IF(H26="Nomina Quincenal INSS",I26/2,I26))</x:f>
      </x:c>
      <x:c r="K26" s="45"/>
      <x:c r="L26" s="43"/>
      <x:c r="M26" s="43"/>
      <x:c r="N26" s="52"/>
      <x:c r="O26" s="37" t="str">
        <x:f>IF(H26="","Falta grupo",IF(I26="","Falta salario",IF(K26="","Falta fecha",IF(K26&lt;F26,"Fecha anterior al ingreso",IF(K26&gt;DATE(2026,12,31),"Fecha fuera de 2026",IF(AND(K26&gt;DATE(2026,1,1),COUNTBLANK(L26:M26)&gt;0),"Faltan acumulados","Completo"))))))</x:f>
        <x:v>Falta grupo</x:v>
      </x:c>
    </x:row>
    <x:row r="27" ht="20" customHeight="1">
      <x:c r="A27" s="28" t="str">
        <x:v>HR-EMP-00019</x:v>
      </x:c>
      <x:c r="B27" s="50" t="str">
        <x:v>Michael Escalante</x:v>
      </x:c>
      <x:c r="C27" s="50" t="str">
        <x:v>Maquinaria y Equipos - CYCE</x:v>
      </x:c>
      <x:c r="D27" s="50" t="str">
        <x:v>Operador de Retroexcavadora</x:v>
      </x:c>
      <x:c r="E27" s="50" t="str"/>
      <x:c r="F27" s="30" t="n">
        <x:v>46023</x:v>
      </x:c>
      <x:c r="G27" s="28" t="str"/>
      <x:c r="H27" s="42"/>
      <x:c r="I27" s="43"/>
      <x:c r="J27" s="44" t="str">
        <x:f>IF(H27="","",IF(H27="Nomina Quincenal INSS",I27/2,I27))</x:f>
      </x:c>
      <x:c r="K27" s="45"/>
      <x:c r="L27" s="43"/>
      <x:c r="M27" s="43"/>
      <x:c r="N27" s="52"/>
      <x:c r="O27" s="37" t="str">
        <x:f>IF(H27="","Falta grupo",IF(I27="","Falta salario",IF(K27="","Falta fecha",IF(K27&lt;F27,"Fecha anterior al ingreso",IF(K27&gt;DATE(2026,12,31),"Fecha fuera de 2026",IF(AND(K27&gt;DATE(2026,1,1),COUNTBLANK(L27:M27)&gt;0),"Faltan acumulados","Completo"))))))</x:f>
        <x:v>Falta grupo</x:v>
      </x:c>
    </x:row>
    <x:row r="28" ht="20" customHeight="1">
      <x:c r="A28" s="28" t="str">
        <x:v>HR-EMP-00020</x:v>
      </x:c>
      <x:c r="B28" s="50" t="str">
        <x:v>Carlos Miranda</x:v>
      </x:c>
      <x:c r="C28" s="50" t="str">
        <x:v>Maquinaria y Equipos - CYCE</x:v>
      </x:c>
      <x:c r="D28" s="50" t="str">
        <x:v>Operador de Excavadora</x:v>
      </x:c>
      <x:c r="E28" s="50" t="str"/>
      <x:c r="F28" s="30" t="n">
        <x:v>46023</x:v>
      </x:c>
      <x:c r="G28" s="28" t="str"/>
      <x:c r="H28" s="42"/>
      <x:c r="I28" s="43"/>
      <x:c r="J28" s="44" t="str">
        <x:f>IF(H28="","",IF(H28="Nomina Quincenal INSS",I28/2,I28))</x:f>
      </x:c>
      <x:c r="K28" s="45"/>
      <x:c r="L28" s="43"/>
      <x:c r="M28" s="43"/>
      <x:c r="N28" s="52"/>
      <x:c r="O28" s="37" t="str">
        <x:f>IF(H28="","Falta grupo",IF(I28="","Falta salario",IF(K28="","Falta fecha",IF(K28&lt;F28,"Fecha anterior al ingreso",IF(K28&gt;DATE(2026,12,31),"Fecha fuera de 2026",IF(AND(K28&gt;DATE(2026,1,1),COUNTBLANK(L28:M28)&gt;0),"Faltan acumulados","Completo"))))))</x:f>
        <x:v>Falta grupo</x:v>
      </x:c>
    </x:row>
    <x:row r="29" ht="20" customHeight="1">
      <x:c r="A29" s="28" t="str">
        <x:v>HR-EMP-00021</x:v>
      </x:c>
      <x:c r="B29" s="50" t="str">
        <x:v>Luis Espinoza</x:v>
      </x:c>
      <x:c r="C29" s="50" t="str">
        <x:v>Maquinaria y Equipos - CYCE</x:v>
      </x:c>
      <x:c r="D29" s="50" t="str">
        <x:v>Operador de Volquete</x:v>
      </x:c>
      <x:c r="E29" s="50" t="str"/>
      <x:c r="F29" s="30" t="n">
        <x:v>46023</x:v>
      </x:c>
      <x:c r="G29" s="28" t="str"/>
      <x:c r="H29" s="42"/>
      <x:c r="I29" s="43"/>
      <x:c r="J29" s="44" t="str">
        <x:f>IF(H29="","",IF(H29="Nomina Quincenal INSS",I29/2,I29))</x:f>
      </x:c>
      <x:c r="K29" s="45"/>
      <x:c r="L29" s="43"/>
      <x:c r="M29" s="43"/>
      <x:c r="N29" s="52"/>
      <x:c r="O29" s="37" t="str">
        <x:f>IF(H29="","Falta grupo",IF(I29="","Falta salario",IF(K29="","Falta fecha",IF(K29&lt;F29,"Fecha anterior al ingreso",IF(K29&gt;DATE(2026,12,31),"Fecha fuera de 2026",IF(AND(K29&gt;DATE(2026,1,1),COUNTBLANK(L29:M29)&gt;0),"Faltan acumulados","Completo"))))))</x:f>
        <x:v>Falta grupo</x:v>
      </x:c>
    </x:row>
    <x:row r="30" ht="20" customHeight="1">
      <x:c r="A30" s="28" t="str">
        <x:v>HR-EMP-00022</x:v>
      </x:c>
      <x:c r="B30" s="50" t="str">
        <x:v>José Rodríguez</x:v>
      </x:c>
      <x:c r="C30" s="50" t="str">
        <x:v>Maquinaria y Equipos - CYCE</x:v>
      </x:c>
      <x:c r="D30" s="50" t="str">
        <x:v>Operador de Volquete</x:v>
      </x:c>
      <x:c r="E30" s="50" t="str"/>
      <x:c r="F30" s="30" t="n">
        <x:v>46023</x:v>
      </x:c>
      <x:c r="G30" s="28" t="str"/>
      <x:c r="H30" s="42"/>
      <x:c r="I30" s="43"/>
      <x:c r="J30" s="44" t="str">
        <x:f>IF(H30="","",IF(H30="Nomina Quincenal INSS",I30/2,I30))</x:f>
      </x:c>
      <x:c r="K30" s="45"/>
      <x:c r="L30" s="43"/>
      <x:c r="M30" s="43"/>
      <x:c r="N30" s="52"/>
      <x:c r="O30" s="37" t="str">
        <x:f>IF(H30="","Falta grupo",IF(I30="","Falta salario",IF(K30="","Falta fecha",IF(K30&lt;F30,"Fecha anterior al ingreso",IF(K30&gt;DATE(2026,12,31),"Fecha fuera de 2026",IF(AND(K30&gt;DATE(2026,1,1),COUNTBLANK(L30:M30)&gt;0),"Faltan acumulados","Completo"))))))</x:f>
        <x:v>Falta grupo</x:v>
      </x:c>
    </x:row>
    <x:row r="31" ht="20" customHeight="1">
      <x:c r="A31" s="28" t="str">
        <x:v>HR-EMP-00023</x:v>
      </x:c>
      <x:c r="B31" s="50" t="str">
        <x:v>Miguel Blandón</x:v>
      </x:c>
      <x:c r="C31" s="50" t="str">
        <x:v>Maquinaria y Equipos - CYCE</x:v>
      </x:c>
      <x:c r="D31" s="50" t="str">
        <x:v>Conductor</x:v>
      </x:c>
      <x:c r="E31" s="50" t="str"/>
      <x:c r="F31" s="30" t="n">
        <x:v>46023</x:v>
      </x:c>
      <x:c r="G31" s="28" t="str"/>
      <x:c r="H31" s="42"/>
      <x:c r="I31" s="43"/>
      <x:c r="J31" s="44" t="str">
        <x:f>IF(H31="","",IF(H31="Nomina Quincenal INSS",I31/2,I31))</x:f>
      </x:c>
      <x:c r="K31" s="45"/>
      <x:c r="L31" s="43"/>
      <x:c r="M31" s="43"/>
      <x:c r="N31" s="52"/>
      <x:c r="O31" s="37" t="str">
        <x:f>IF(H31="","Falta grupo",IF(I31="","Falta salario",IF(K31="","Falta fecha",IF(K31&lt;F31,"Fecha anterior al ingreso",IF(K31&gt;DATE(2026,12,31),"Fecha fuera de 2026",IF(AND(K31&gt;DATE(2026,1,1),COUNTBLANK(L31:M31)&gt;0),"Faltan acumulados","Completo"))))))</x:f>
        <x:v>Falta grupo</x:v>
      </x:c>
    </x:row>
    <x:row r="32" ht="20" customHeight="1">
      <x:c r="A32" s="28" t="str">
        <x:v>HR-EMP-00024</x:v>
      </x:c>
      <x:c r="B32" s="50" t="str">
        <x:v>Larry Rosales</x:v>
      </x:c>
      <x:c r="C32" s="50" t="str">
        <x:v>Maquinaria y Equipos - CYCE</x:v>
      </x:c>
      <x:c r="D32" s="50" t="str">
        <x:v>Conductor</x:v>
      </x:c>
      <x:c r="E32" s="50" t="str"/>
      <x:c r="F32" s="30" t="n">
        <x:v>46023</x:v>
      </x:c>
      <x:c r="G32" s="28" t="str"/>
      <x:c r="H32" s="42"/>
      <x:c r="I32" s="43"/>
      <x:c r="J32" s="44" t="str">
        <x:f>IF(H32="","",IF(H32="Nomina Quincenal INSS",I32/2,I32))</x:f>
      </x:c>
      <x:c r="K32" s="45"/>
      <x:c r="L32" s="43"/>
      <x:c r="M32" s="43"/>
      <x:c r="N32" s="52"/>
      <x:c r="O32" s="37" t="str">
        <x:f>IF(H32="","Falta grupo",IF(I32="","Falta salario",IF(K32="","Falta fecha",IF(K32&lt;F32,"Fecha anterior al ingreso",IF(K32&gt;DATE(2026,12,31),"Fecha fuera de 2026",IF(AND(K32&gt;DATE(2026,1,1),COUNTBLANK(L32:M32)&gt;0),"Faltan acumulados","Completo"))))))</x:f>
        <x:v>Falta grupo</x:v>
      </x:c>
    </x:row>
    <x:row r="33" ht="20" customHeight="1">
      <x:c r="A33" s="28" t="str">
        <x:v>HR-EMP-00025</x:v>
      </x:c>
      <x:c r="B33" s="50" t="str">
        <x:v>Wiliam Cano</x:v>
      </x:c>
      <x:c r="C33" s="50" t="str">
        <x:v>Maquinaria y Equipos - CYCE</x:v>
      </x:c>
      <x:c r="D33" s="50" t="str">
        <x:v>Conductor</x:v>
      </x:c>
      <x:c r="E33" s="50" t="str"/>
      <x:c r="F33" s="30" t="n">
        <x:v>46023</x:v>
      </x:c>
      <x:c r="G33" s="28" t="str"/>
      <x:c r="H33" s="42"/>
      <x:c r="I33" s="43"/>
      <x:c r="J33" s="44" t="str">
        <x:f>IF(H33="","",IF(H33="Nomina Quincenal INSS",I33/2,I33))</x:f>
      </x:c>
      <x:c r="K33" s="45"/>
      <x:c r="L33" s="43"/>
      <x:c r="M33" s="43"/>
      <x:c r="N33" s="52"/>
      <x:c r="O33" s="37" t="str">
        <x:f>IF(H33="","Falta grupo",IF(I33="","Falta salario",IF(K33="","Falta fecha",IF(K33&lt;F33,"Fecha anterior al ingreso",IF(K33&gt;DATE(2026,12,31),"Fecha fuera de 2026",IF(AND(K33&gt;DATE(2026,1,1),COUNTBLANK(L33:M33)&gt;0),"Faltan acumulados","Completo"))))))</x:f>
        <x:v>Falta grupo</x:v>
      </x:c>
    </x:row>
    <x:row r="34" ht="20" customHeight="1">
      <x:c r="A34" s="28" t="str">
        <x:v>HR-EMP-00026</x:v>
      </x:c>
      <x:c r="B34" s="50" t="str">
        <x:v>Wiston Jarquín</x:v>
      </x:c>
      <x:c r="C34" s="50" t="str">
        <x:v>Maquinaria y Equipos - CYCE</x:v>
      </x:c>
      <x:c r="D34" s="50" t="str">
        <x:v>Conductor</x:v>
      </x:c>
      <x:c r="E34" s="50" t="str"/>
      <x:c r="F34" s="30" t="n">
        <x:v>46023</x:v>
      </x:c>
      <x:c r="G34" s="28" t="str"/>
      <x:c r="H34" s="42"/>
      <x:c r="I34" s="43"/>
      <x:c r="J34" s="44" t="str">
        <x:f>IF(H34="","",IF(H34="Nomina Quincenal INSS",I34/2,I34))</x:f>
      </x:c>
      <x:c r="K34" s="45"/>
      <x:c r="L34" s="43"/>
      <x:c r="M34" s="43"/>
      <x:c r="N34" s="52"/>
      <x:c r="O34" s="37" t="str">
        <x:f>IF(H34="","Falta grupo",IF(I34="","Falta salario",IF(K34="","Falta fecha",IF(K34&lt;F34,"Fecha anterior al ingreso",IF(K34&gt;DATE(2026,12,31),"Fecha fuera de 2026",IF(AND(K34&gt;DATE(2026,1,1),COUNTBLANK(L34:M34)&gt;0),"Faltan acumulados","Completo"))))))</x:f>
        <x:v>Falta grupo</x:v>
      </x:c>
    </x:row>
    <x:row r="35" ht="20" customHeight="1">
      <x:c r="A35" s="28" t="str">
        <x:v>HR-EMP-00027</x:v>
      </x:c>
      <x:c r="B35" s="50" t="str">
        <x:v>Porfirio Membreño</x:v>
      </x:c>
      <x:c r="C35" s="50" t="str">
        <x:v>Operaciones de Obra - CYCE</x:v>
      </x:c>
      <x:c r="D35" s="50" t="str">
        <x:v>Maestro de Obra</x:v>
      </x:c>
      <x:c r="E35" s="50" t="str"/>
      <x:c r="F35" s="30" t="n">
        <x:v>46023</x:v>
      </x:c>
      <x:c r="G35" s="28" t="str"/>
      <x:c r="H35" s="42"/>
      <x:c r="I35" s="43"/>
      <x:c r="J35" s="44" t="str">
        <x:f>IF(H35="","",IF(H35="Nomina Quincenal INSS",I35/2,I35))</x:f>
      </x:c>
      <x:c r="K35" s="45"/>
      <x:c r="L35" s="43"/>
      <x:c r="M35" s="43"/>
      <x:c r="N35" s="52"/>
      <x:c r="O35" s="37" t="str">
        <x:f>IF(H35="","Falta grupo",IF(I35="","Falta salario",IF(K35="","Falta fecha",IF(K35&lt;F35,"Fecha anterior al ingreso",IF(K35&gt;DATE(2026,12,31),"Fecha fuera de 2026",IF(AND(K35&gt;DATE(2026,1,1),COUNTBLANK(L35:M35)&gt;0),"Faltan acumulados","Completo"))))))</x:f>
        <x:v>Falta grupo</x:v>
      </x:c>
    </x:row>
    <x:row r="36" ht="20" customHeight="1">
      <x:c r="A36" s="28" t="str">
        <x:v>HR-EMP-00028</x:v>
      </x:c>
      <x:c r="B36" s="50" t="str">
        <x:v>Dionisio González</x:v>
      </x:c>
      <x:c r="C36" s="50" t="str">
        <x:v>Operaciones de Obra - CYCE</x:v>
      </x:c>
      <x:c r="D36" s="50" t="str">
        <x:v>Maestro de Obra</x:v>
      </x:c>
      <x:c r="E36" s="50" t="str"/>
      <x:c r="F36" s="30" t="n">
        <x:v>46023</x:v>
      </x:c>
      <x:c r="G36" s="28" t="str"/>
      <x:c r="H36" s="42"/>
      <x:c r="I36" s="43"/>
      <x:c r="J36" s="44" t="str">
        <x:f>IF(H36="","",IF(H36="Nomina Quincenal INSS",I36/2,I36))</x:f>
      </x:c>
      <x:c r="K36" s="45"/>
      <x:c r="L36" s="43"/>
      <x:c r="M36" s="43"/>
      <x:c r="N36" s="52"/>
      <x:c r="O36" s="37" t="str">
        <x:f>IF(H36="","Falta grupo",IF(I36="","Falta salario",IF(K36="","Falta fecha",IF(K36&lt;F36,"Fecha anterior al ingreso",IF(K36&gt;DATE(2026,12,31),"Fecha fuera de 2026",IF(AND(K36&gt;DATE(2026,1,1),COUNTBLANK(L36:M36)&gt;0),"Faltan acumulados","Completo"))))))</x:f>
        <x:v>Falta grupo</x:v>
      </x:c>
    </x:row>
    <x:row r="37" ht="20" customHeight="1">
      <x:c r="A37" s="28" t="str">
        <x:v>HR-EMP-00029</x:v>
      </x:c>
      <x:c r="B37" s="50" t="str">
        <x:v>Jhon Largaespada</x:v>
      </x:c>
      <x:c r="C37" s="50" t="str">
        <x:v>Operaciones de Obra - CYCE</x:v>
      </x:c>
      <x:c r="D37" s="50" t="str">
        <x:v>Maestro de Obra</x:v>
      </x:c>
      <x:c r="E37" s="50" t="str"/>
      <x:c r="F37" s="30" t="n">
        <x:v>46023</x:v>
      </x:c>
      <x:c r="G37" s="28" t="str"/>
      <x:c r="H37" s="42"/>
      <x:c r="I37" s="43"/>
      <x:c r="J37" s="44" t="str">
        <x:f>IF(H37="","",IF(H37="Nomina Quincenal INSS",I37/2,I37))</x:f>
      </x:c>
      <x:c r="K37" s="45"/>
      <x:c r="L37" s="43"/>
      <x:c r="M37" s="43"/>
      <x:c r="N37" s="52"/>
      <x:c r="O37" s="37" t="str">
        <x:f>IF(H37="","Falta grupo",IF(I37="","Falta salario",IF(K37="","Falta fecha",IF(K37&lt;F37,"Fecha anterior al ingreso",IF(K37&gt;DATE(2026,12,31),"Fecha fuera de 2026",IF(AND(K37&gt;DATE(2026,1,1),COUNTBLANK(L37:M37)&gt;0),"Faltan acumulados","Completo"))))))</x:f>
        <x:v>Falta grupo</x:v>
      </x:c>
    </x:row>
    <x:row r="38" ht="20" customHeight="1">
      <x:c r="A38" s="28" t="str">
        <x:v>HR-EMP-00030</x:v>
      </x:c>
      <x:c r="B38" s="50" t="str">
        <x:v>Halmar Cárcamo</x:v>
      </x:c>
      <x:c r="C38" s="50" t="str">
        <x:v>Operaciones de Obra - CYCE</x:v>
      </x:c>
      <x:c r="D38" s="50" t="str">
        <x:v>Bodeguero</x:v>
      </x:c>
      <x:c r="E38" s="50" t="str"/>
      <x:c r="F38" s="30" t="n">
        <x:v>46023</x:v>
      </x:c>
      <x:c r="G38" s="28" t="str"/>
      <x:c r="H38" s="42"/>
      <x:c r="I38" s="43"/>
      <x:c r="J38" s="44" t="str">
        <x:f>IF(H38="","",IF(H38="Nomina Quincenal INSS",I38/2,I38))</x:f>
      </x:c>
      <x:c r="K38" s="45"/>
      <x:c r="L38" s="43"/>
      <x:c r="M38" s="43"/>
      <x:c r="N38" s="52"/>
      <x:c r="O38" s="37" t="str">
        <x:f>IF(H38="","Falta grupo",IF(I38="","Falta salario",IF(K38="","Falta fecha",IF(K38&lt;F38,"Fecha anterior al ingreso",IF(K38&gt;DATE(2026,12,31),"Fecha fuera de 2026",IF(AND(K38&gt;DATE(2026,1,1),COUNTBLANK(L38:M38)&gt;0),"Faltan acumulados","Completo"))))))</x:f>
        <x:v>Falta grupo</x:v>
      </x:c>
    </x:row>
    <x:row r="39" ht="20" customHeight="1">
      <x:c r="A39" s="28" t="str">
        <x:v>HR-EMP-00031</x:v>
      </x:c>
      <x:c r="B39" s="50" t="str">
        <x:v>Amanda Alarcón</x:v>
      </x:c>
      <x:c r="C39" s="50" t="str">
        <x:v>Operaciones de Obra - CYCE</x:v>
      </x:c>
      <x:c r="D39" s="50" t="str">
        <x:v>Vigilante</x:v>
      </x:c>
      <x:c r="E39" s="50" t="str"/>
      <x:c r="F39" s="30" t="n">
        <x:v>46023</x:v>
      </x:c>
      <x:c r="G39" s="28" t="str"/>
      <x:c r="H39" s="42"/>
      <x:c r="I39" s="43"/>
      <x:c r="J39" s="44" t="str">
        <x:f>IF(H39="","",IF(H39="Nomina Quincenal INSS",I39/2,I39))</x:f>
      </x:c>
      <x:c r="K39" s="45"/>
      <x:c r="L39" s="43"/>
      <x:c r="M39" s="43"/>
      <x:c r="N39" s="52"/>
      <x:c r="O39" s="37" t="str">
        <x:f>IF(H39="","Falta grupo",IF(I39="","Falta salario",IF(K39="","Falta fecha",IF(K39&lt;F39,"Fecha anterior al ingreso",IF(K39&gt;DATE(2026,12,31),"Fecha fuera de 2026",IF(AND(K39&gt;DATE(2026,1,1),COUNTBLANK(L39:M39)&gt;0),"Faltan acumulados","Completo"))))))</x:f>
        <x:v>Falta grupo</x:v>
      </x:c>
    </x:row>
    <x:row r="40" ht="20" customHeight="1">
      <x:c r="A40" s="28" t="str">
        <x:v>HR-EMP-00032</x:v>
      </x:c>
      <x:c r="B40" s="50" t="str">
        <x:v>Juan Loáisiga</x:v>
      </x:c>
      <x:c r="C40" s="50" t="str">
        <x:v>Operaciones de Obra - CYCE</x:v>
      </x:c>
      <x:c r="D40" s="50" t="str">
        <x:v>Vigilante</x:v>
      </x:c>
      <x:c r="E40" s="50" t="str"/>
      <x:c r="F40" s="30" t="n">
        <x:v>46023</x:v>
      </x:c>
      <x:c r="G40" s="28" t="str"/>
      <x:c r="H40" s="42"/>
      <x:c r="I40" s="43"/>
      <x:c r="J40" s="44" t="str">
        <x:f>IF(H40="","",IF(H40="Nomina Quincenal INSS",I40/2,I40))</x:f>
      </x:c>
      <x:c r="K40" s="45"/>
      <x:c r="L40" s="43"/>
      <x:c r="M40" s="43"/>
      <x:c r="N40" s="52"/>
      <x:c r="O40" s="37" t="str">
        <x:f>IF(H40="","Falta grupo",IF(I40="","Falta salario",IF(K40="","Falta fecha",IF(K40&lt;F40,"Fecha anterior al ingreso",IF(K40&gt;DATE(2026,12,31),"Fecha fuera de 2026",IF(AND(K40&gt;DATE(2026,1,1),COUNTBLANK(L40:M40)&gt;0),"Faltan acumulados","Completo"))))))</x:f>
        <x:v>Falta grupo</x:v>
      </x:c>
    </x:row>
    <x:row r="41" ht="20" customHeight="1">
      <x:c r="A41" s="28" t="str">
        <x:v>HR-EMP-00033</x:v>
      </x:c>
      <x:c r="B41" s="50" t="str">
        <x:v>Abraham Herrera</x:v>
      </x:c>
      <x:c r="C41" s="50" t="str">
        <x:v>Operaciones de Obra - CYCE</x:v>
      </x:c>
      <x:c r="D41" s="50" t="str">
        <x:v>Vigilante</x:v>
      </x:c>
      <x:c r="E41" s="50" t="str"/>
      <x:c r="F41" s="30" t="n">
        <x:v>46023</x:v>
      </x:c>
      <x:c r="G41" s="28" t="str"/>
      <x:c r="H41" s="42"/>
      <x:c r="I41" s="43"/>
      <x:c r="J41" s="44" t="str">
        <x:f>IF(H41="","",IF(H41="Nomina Quincenal INSS",I41/2,I41))</x:f>
      </x:c>
      <x:c r="K41" s="45"/>
      <x:c r="L41" s="43"/>
      <x:c r="M41" s="43"/>
      <x:c r="N41" s="52"/>
      <x:c r="O41" s="37" t="str">
        <x:f>IF(H41="","Falta grupo",IF(I41="","Falta salario",IF(K41="","Falta fecha",IF(K41&lt;F41,"Fecha anterior al ingreso",IF(K41&gt;DATE(2026,12,31),"Fecha fuera de 2026",IF(AND(K41&gt;DATE(2026,1,1),COUNTBLANK(L41:M41)&gt;0),"Faltan acumulados","Completo"))))))</x:f>
        <x:v>Falta grupo</x:v>
      </x:c>
    </x:row>
    <x:row r="42" ht="20" customHeight="1">
      <x:c r="A42" s="28" t="str">
        <x:v>HR-EMP-00036</x:v>
      </x:c>
      <x:c r="B42" s="50" t="str">
        <x:v>César</x:v>
      </x:c>
      <x:c r="C42" s="50" t="str">
        <x:v>Operaciones de Obra - CYCE</x:v>
      </x:c>
      <x:c r="D42" s="50" t="str">
        <x:v>Ayudante de Obra</x:v>
      </x:c>
      <x:c r="E42" s="50" t="str"/>
      <x:c r="F42" s="30" t="n">
        <x:v>46023</x:v>
      </x:c>
      <x:c r="G42" s="28" t="str"/>
      <x:c r="H42" s="42"/>
      <x:c r="I42" s="43"/>
      <x:c r="J42" s="44" t="str">
        <x:f>IF(H42="","",IF(H42="Nomina Quincenal INSS",I42/2,I42))</x:f>
      </x:c>
      <x:c r="K42" s="45"/>
      <x:c r="L42" s="43"/>
      <x:c r="M42" s="43"/>
      <x:c r="N42" s="52"/>
      <x:c r="O42" s="37" t="str">
        <x:f>IF(H42="","Falta grupo",IF(I42="","Falta salario",IF(K42="","Falta fecha",IF(K42&lt;F42,"Fecha anterior al ingreso",IF(K42&gt;DATE(2026,12,31),"Fecha fuera de 2026",IF(AND(K42&gt;DATE(2026,1,1),COUNTBLANK(L42:M42)&gt;0),"Faltan acumulados","Completo"))))))</x:f>
        <x:v>Falta grupo</x:v>
      </x:c>
    </x:row>
    <x:row r="43" ht="20" customHeight="1">
      <x:c r="A43" s="28" t="str">
        <x:v>HR-EMP-00037</x:v>
      </x:c>
      <x:c r="B43" s="50" t="str">
        <x:v>Erlin Mercado</x:v>
      </x:c>
      <x:c r="C43" s="50" t="str">
        <x:v>Operaciones de Obra - CYCE</x:v>
      </x:c>
      <x:c r="D43" s="50" t="str">
        <x:v>Ayudante de Obra</x:v>
      </x:c>
      <x:c r="E43" s="50" t="str"/>
      <x:c r="F43" s="30" t="n">
        <x:v>46023</x:v>
      </x:c>
      <x:c r="G43" s="28" t="str"/>
      <x:c r="H43" s="42"/>
      <x:c r="I43" s="43"/>
      <x:c r="J43" s="44" t="str">
        <x:f>IF(H43="","",IF(H43="Nomina Quincenal INSS",I43/2,I43))</x:f>
      </x:c>
      <x:c r="K43" s="45"/>
      <x:c r="L43" s="43"/>
      <x:c r="M43" s="43"/>
      <x:c r="N43" s="52"/>
      <x:c r="O43" s="37" t="str">
        <x:f>IF(H43="","Falta grupo",IF(I43="","Falta salario",IF(K43="","Falta fecha",IF(K43&lt;F43,"Fecha anterior al ingreso",IF(K43&gt;DATE(2026,12,31),"Fecha fuera de 2026",IF(AND(K43&gt;DATE(2026,1,1),COUNTBLANK(L43:M43)&gt;0),"Faltan acumulados","Completo"))))))</x:f>
        <x:v>Falta grupo</x:v>
      </x:c>
    </x:row>
    <x:row r="44" ht="20" customHeight="1">
      <x:c r="A44" s="28" t="str">
        <x:v>HR-EMP-00038</x:v>
      </x:c>
      <x:c r="B44" s="50" t="str">
        <x:v>Isacc Sirios</x:v>
      </x:c>
      <x:c r="C44" s="50" t="str">
        <x:v>Operaciones de Obra - CYCE</x:v>
      </x:c>
      <x:c r="D44" s="50" t="str">
        <x:v>Ayudante de Obra</x:v>
      </x:c>
      <x:c r="E44" s="50" t="str"/>
      <x:c r="F44" s="30" t="n">
        <x:v>46023</x:v>
      </x:c>
      <x:c r="G44" s="28" t="str"/>
      <x:c r="H44" s="42"/>
      <x:c r="I44" s="43"/>
      <x:c r="J44" s="44" t="str">
        <x:f>IF(H44="","",IF(H44="Nomina Quincenal INSS",I44/2,I44))</x:f>
      </x:c>
      <x:c r="K44" s="45"/>
      <x:c r="L44" s="43"/>
      <x:c r="M44" s="43"/>
      <x:c r="N44" s="52"/>
      <x:c r="O44" s="37" t="str">
        <x:f>IF(H44="","Falta grupo",IF(I44="","Falta salario",IF(K44="","Falta fecha",IF(K44&lt;F44,"Fecha anterior al ingreso",IF(K44&gt;DATE(2026,12,31),"Fecha fuera de 2026",IF(AND(K44&gt;DATE(2026,1,1),COUNTBLANK(L44:M44)&gt;0),"Faltan acumulados","Completo"))))))</x:f>
        <x:v>Falta grupo</x:v>
      </x:c>
    </x:row>
    <x:row r="45" ht="20" customHeight="1">
      <x:c r="A45" s="28" t="str">
        <x:v>HR-EMP-00040</x:v>
      </x:c>
      <x:c r="B45" s="50" t="str">
        <x:v>Pablo</x:v>
      </x:c>
      <x:c r="C45" s="50" t="str">
        <x:v>Operaciones de Obra - CYCE</x:v>
      </x:c>
      <x:c r="D45" s="50" t="str">
        <x:v>Ayudante de Obra</x:v>
      </x:c>
      <x:c r="E45" s="50" t="str"/>
      <x:c r="F45" s="30" t="n">
        <x:v>46023</x:v>
      </x:c>
      <x:c r="G45" s="28" t="str"/>
      <x:c r="H45" s="42"/>
      <x:c r="I45" s="43"/>
      <x:c r="J45" s="44" t="str">
        <x:f>IF(H45="","",IF(H45="Nomina Quincenal INSS",I45/2,I45))</x:f>
      </x:c>
      <x:c r="K45" s="45"/>
      <x:c r="L45" s="43"/>
      <x:c r="M45" s="43"/>
      <x:c r="N45" s="52"/>
      <x:c r="O45" s="37" t="str">
        <x:f>IF(H45="","Falta grupo",IF(I45="","Falta salario",IF(K45="","Falta fecha",IF(K45&lt;F45,"Fecha anterior al ingreso",IF(K45&gt;DATE(2026,12,31),"Fecha fuera de 2026",IF(AND(K45&gt;DATE(2026,1,1),COUNTBLANK(L45:M45)&gt;0),"Faltan acumulados","Completo"))))))</x:f>
        <x:v>Falta grupo</x:v>
      </x:c>
    </x:row>
    <x:row r="46" ht="20" customHeight="1">
      <x:c r="A46" s="28" t="str">
        <x:v>HR-EMP-00041</x:v>
      </x:c>
      <x:c r="B46" s="50" t="str">
        <x:v>Carlos Delgado</x:v>
      </x:c>
      <x:c r="C46" s="50" t="str">
        <x:v>Operaciones de Obra - CYCE</x:v>
      </x:c>
      <x:c r="D46" s="50" t="str">
        <x:v>Ayudante de Obra</x:v>
      </x:c>
      <x:c r="E46" s="50" t="str"/>
      <x:c r="F46" s="30" t="n">
        <x:v>46023</x:v>
      </x:c>
      <x:c r="G46" s="28" t="str"/>
      <x:c r="H46" s="42"/>
      <x:c r="I46" s="43"/>
      <x:c r="J46" s="44" t="str">
        <x:f>IF(H46="","",IF(H46="Nomina Quincenal INSS",I46/2,I46))</x:f>
      </x:c>
      <x:c r="K46" s="45"/>
      <x:c r="L46" s="43"/>
      <x:c r="M46" s="43"/>
      <x:c r="N46" s="52"/>
      <x:c r="O46" s="37" t="str">
        <x:f>IF(H46="","Falta grupo",IF(I46="","Falta salario",IF(K46="","Falta fecha",IF(K46&lt;F46,"Fecha anterior al ingreso",IF(K46&gt;DATE(2026,12,31),"Fecha fuera de 2026",IF(AND(K46&gt;DATE(2026,1,1),COUNTBLANK(L46:M46)&gt;0),"Faltan acumulados","Completo"))))))</x:f>
        <x:v>Falta grupo</x:v>
      </x:c>
    </x:row>
    <x:row r="47" ht="20" customHeight="1">
      <x:c r="A47" s="28" t="str">
        <x:v>HR-EMP-00042</x:v>
      </x:c>
      <x:c r="B47" s="50" t="str">
        <x:v>Donald Fonseca</x:v>
      </x:c>
      <x:c r="C47" s="50" t="str">
        <x:v>Operaciones de Obra - CYCE</x:v>
      </x:c>
      <x:c r="D47" s="50" t="str">
        <x:v>Ayudante de Obra</x:v>
      </x:c>
      <x:c r="E47" s="50" t="str"/>
      <x:c r="F47" s="30" t="n">
        <x:v>46023</x:v>
      </x:c>
      <x:c r="G47" s="28" t="str"/>
      <x:c r="H47" s="46"/>
      <x:c r="I47" s="47"/>
      <x:c r="J47" s="48" t="str">
        <x:f>IF(H47="","",IF(H47="Nomina Quincenal INSS",I47/2,I47))</x:f>
      </x:c>
      <x:c r="K47" s="49"/>
      <x:c r="L47" s="47"/>
      <x:c r="M47" s="47"/>
      <x:c r="N47" s="53"/>
      <x:c r="O47" s="37" t="str">
        <x:f>IF(H47="","Falta grupo",IF(I47="","Falta salario",IF(K47="","Falta fecha",IF(K47&lt;F47,"Fecha anterior al ingreso",IF(K47&gt;DATE(2026,12,31),"Fecha fuera de 2026",IF(AND(K47&gt;DATE(2026,1,1),COUNTBLANK(L47:M47)&gt;0),"Faltan acumulados","Completo"))))))</x:f>
        <x:v>Falta grupo</x:v>
      </x:c>
    </x:row>
  </x:sheetData>
  <x:conditionalFormatting sqref="O9:O47">
    <x:cfRule type="containsText" dxfId="0" priority="1" operator="containsText" text="Completo"/>
    <x:cfRule type="containsText" dxfId="1" priority="2" operator="containsText" text="Falta"/>
    <x:cfRule type="containsText" dxfId="2" priority="3" operator="containsText" text="Fecha"/>
  </x:conditionalFormatting>
  <x:dataValidations count="1">
    <x:dataValidation type="list" sqref="H9:H47">
      <x:formula1>"Nomina Mensual INSS,Nomina Quincenal INSS"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27ee14fe4b425b"/>
  </x:tableParts>
</x:worksheet>
</file>